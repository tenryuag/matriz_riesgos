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enryuag/Documents/Documentos - MacBook Air de Tenryu/Git/matriz_riesgos/"/>
    </mc:Choice>
  </mc:AlternateContent>
  <xr:revisionPtr revIDLastSave="0" documentId="8_{F6A2BA70-DE1C-CF4A-941D-B44BA9C523BD}" xr6:coauthVersionLast="47" xr6:coauthVersionMax="47" xr10:uidLastSave="{00000000-0000-0000-0000-000000000000}"/>
  <bookViews>
    <workbookView xWindow="0" yWindow="760" windowWidth="38400" windowHeight="22640" xr2:uid="{00000000-000D-0000-FFFF-FFFF00000000}"/>
  </bookViews>
  <sheets>
    <sheet name="Mapa del Sitio" sheetId="1" r:id="rId1"/>
    <sheet name="Capturas de Pantalla" sheetId="2" r:id="rId2"/>
    <sheet name="Planeación Empresarial" sheetId="3" r:id="rId3"/>
    <sheet name="Planeación Financiera" sheetId="4" r:id="rId4"/>
    <sheet name="Identidad Visual Actu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2" i="2"/>
  <c r="E11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<sst xmlns="http://schemas.openxmlformats.org/spreadsheetml/2006/main" count="423" uniqueCount="283">
  <si>
    <t>MARA PÉREZ – ASESORA EMPRESARIAL  |  Mapa de Sitio Web</t>
  </si>
  <si>
    <t>Documentación de interfaz para rediseño  •  Febrero 2026</t>
  </si>
  <si>
    <t>Módulo</t>
  </si>
  <si>
    <t>Sección</t>
  </si>
  <si>
    <t>Sub-sección</t>
  </si>
  <si>
    <t>URL</t>
  </si>
  <si>
    <t>Planeación Empresarial</t>
  </si>
  <si>
    <t>Análisis</t>
  </si>
  <si>
    <t>El Mercado – Tus competidores</t>
  </si>
  <si>
    <t>https://maraperez.mangoo.systems/Guia_detectar_oportunidades?tipo=1</t>
  </si>
  <si>
    <t>El Mercado – Tu posición en el mercado</t>
  </si>
  <si>
    <t>(sub-pestaña de la página anterior)</t>
  </si>
  <si>
    <t>El Mercado – Tu entorno externo</t>
  </si>
  <si>
    <t>Análisis Interno</t>
  </si>
  <si>
    <t>https://maraperez.mangoo.systems/Guia_detectar_oportunidades?tipo=2</t>
  </si>
  <si>
    <t>El cliente</t>
  </si>
  <si>
    <t>https://maraperez.mangoo.systems/Guia_detectar_oportunidades?tipo=3</t>
  </si>
  <si>
    <t>Estado de resultados</t>
  </si>
  <si>
    <t>https://maraperez.mangoo.systems/Guia_detectar_oportunidades?tipo=4</t>
  </si>
  <si>
    <t>Conclusiones</t>
  </si>
  <si>
    <t>FODA</t>
  </si>
  <si>
    <t>https://maraperez.mangoo.systems/Analisisfoda?con=1</t>
  </si>
  <si>
    <t>Resumen de estrategias</t>
  </si>
  <si>
    <t>https://maraperez.mangoo.systems/Analisisfoda?con=2</t>
  </si>
  <si>
    <t>Cronograma</t>
  </si>
  <si>
    <t>https://maraperez.mangoo.systems/Analisisfoda?con=3</t>
  </si>
  <si>
    <t>Planeación Financiera</t>
  </si>
  <si>
    <t>Análisis Financiero Histórico</t>
  </si>
  <si>
    <t>Datos Históricos – Ventas</t>
  </si>
  <si>
    <t>https://maraperez.mangoo.systems/DatosHitoricos/ventas</t>
  </si>
  <si>
    <t>https://maraperez.mangoo.systems/EstadoResultados</t>
  </si>
  <si>
    <t>Flujo de efectivo</t>
  </si>
  <si>
    <t>https://maraperez.mangoo.systems/FlujoEfectivo</t>
  </si>
  <si>
    <t>Proyección Financiera</t>
  </si>
  <si>
    <t>Menú Proyección</t>
  </si>
  <si>
    <t>https://maraperez.mangoo.systems/Proyeccion</t>
  </si>
  <si>
    <t>Consulta de Proyección</t>
  </si>
  <si>
    <t>https://maraperez.mangoo.systems/ConsultaProyeccion</t>
  </si>
  <si>
    <t>Cotizadores</t>
  </si>
  <si>
    <t>https://maraperez.mangoo.systems/Cotizadores</t>
  </si>
  <si>
    <t>Análisis Actual</t>
  </si>
  <si>
    <t>Captura datos reales</t>
  </si>
  <si>
    <t>https://maraperez.mangoo.systems/CapturaDatosReales</t>
  </si>
  <si>
    <t>Consulta de datos</t>
  </si>
  <si>
    <t>https://maraperez.mangoo.systems/ConsultaDeDatos</t>
  </si>
  <si>
    <t>CAPTURAS DE PANTALLA — Mara Pérez Asesora Empresarial</t>
  </si>
  <si>
    <t>Capturas tomadas el 27 de febrero 2026 · Haz clic en el enlace para ver la pantalla completa</t>
  </si>
  <si>
    <t>#</t>
  </si>
  <si>
    <t>Pantalla</t>
  </si>
  <si>
    <t>🔗 Ver Captura (click)</t>
  </si>
  <si>
    <t xml:space="preserve">  ▶  Planeación Empresarial</t>
  </si>
  <si>
    <t>El Mercado</t>
  </si>
  <si>
    <t xml:space="preserve">  ▶  Planeación Financiera</t>
  </si>
  <si>
    <t>Datos Históricos</t>
  </si>
  <si>
    <t>ℹ️  Los enlaces son temporales (~7 días). Para ver todas las capturas embebidas, abre el archivo MaraPerez_Pantallas_Actuales.html descargado en tu carpeta de Descargas.</t>
  </si>
  <si>
    <t>PLANEACIÓN EMPRESARIAL  |  Inventario de Pantallas y Elementos de UI</t>
  </si>
  <si>
    <t>Mara Pérez – Asesora Empresarial  •  Documentación para rediseño  •  Febrero 2026</t>
  </si>
  <si>
    <t>Descripción</t>
  </si>
  <si>
    <t>Navegación / Tabs</t>
  </si>
  <si>
    <t>Botones</t>
  </si>
  <si>
    <t>Formularios / Entradas</t>
  </si>
  <si>
    <t>Notas de Rediseño</t>
  </si>
  <si>
    <t>▶  ANÁLISIS</t>
  </si>
  <si>
    <t>Tus competidores</t>
  </si>
  <si>
    <t>Análisis comparativo de los 5 principales competidores del negocio.</t>
  </si>
  <si>
    <t>Análisis del Mercado | Análisis Interno | Análisis del cliente | Análisis del estado Resultados (iconos superiores)
Sub-tabs: Tus competidores | Tu posición en el mercado | Tu entorno externo</t>
  </si>
  <si>
    <t>Siguiente &gt; | Descarga (↓ dorado)</t>
  </si>
  <si>
    <t>Tabla de competidores (cols: Competidor, Precio, Servicio, Servicio post-venta, Entrega)
Dropdowns: 'Selecciona una opción' por cada celda
Campos de texto libre por cada subcategoría</t>
  </si>
  <si>
    <t>Página larga (~5,400 px). Categorías: Precio, Servicio, Servicio post-venta, Entrega</t>
  </si>
  <si>
    <t>Tu posición en el mercado</t>
  </si>
  <si>
    <t>Selección de factores críticos de éxito externos frente a la competencia.</t>
  </si>
  <si>
    <t>Mismos 4 iconos superiores + Sub-tabs: Tus competidores | Tu posición en el mercado | Tu entorno externo</t>
  </si>
  <si>
    <t>Siguiente &gt;</t>
  </si>
  <si>
    <t>Selección de fortalezas y debilidades a gestionar</t>
  </si>
  <si>
    <t>Segunda pestaña dentro de El Mercado</t>
  </si>
  <si>
    <t>Tu entorno externo</t>
  </si>
  <si>
    <t>Análisis del entorno externo del negocio.</t>
  </si>
  <si>
    <t>Factores externos del entorno</t>
  </si>
  <si>
    <t>Tercera pestaña dentro de El Mercado</t>
  </si>
  <si>
    <t>Análisis de fortalezas y debilidades internas del negocio.</t>
  </si>
  <si>
    <t>4 iconos superiores (igual que El Mercado)</t>
  </si>
  <si>
    <t>Ninguno visible</t>
  </si>
  <si>
    <t>Preguntas con dropdowns 'Selecciona una opción'
Secciones: Preguntas sobre tus palancas (Capital Financiero, Capital Social, etc.)</t>
  </si>
  <si>
    <t>Múltiples categorías de preguntas sobre recursos internos</t>
  </si>
  <si>
    <t>Análisis del cliente</t>
  </si>
  <si>
    <t>Descubre insights clave para entender mejor al cliente potencial.</t>
  </si>
  <si>
    <t>4 iconos superiores</t>
  </si>
  <si>
    <t>Campos de texto grandes (textarea) para:
- ¿Qué problema(s) resuelve tu producto/servicio?
- ¿Qué deseo(s) atiende?
- Metas funcionales del cliente
- Metas emocionales
- Deseos básicos del cliente</t>
  </si>
  <si>
    <t>Formulario de perfil de cliente. Preguntas amplias con respuesta libre.</t>
  </si>
  <si>
    <t>Análisis de situación financiera</t>
  </si>
  <si>
    <t>Identifica debilidades en la situación financiera actual del negocio.</t>
  </si>
  <si>
    <t>Tabla con debilidades financieras:
Columnas: Categoría de debilidad | ¿Es debilidad actual? | Descripción | Gestión
Categorías: Rotación de inventarios, Indicadores de productividad, Definición de métricas
Sección inferior: Gastos Operativos (tabs: Gastos Operativos | Gestiones | ¿Qué necesito para...?)</t>
  </si>
  <si>
    <t>Página larga con múltiples categorías de debilidades</t>
  </si>
  <si>
    <t>▶  CONCLUSIONES</t>
  </si>
  <si>
    <t>Resumen FODA</t>
  </si>
  <si>
    <t>Resumen FODA (Fortalezas – Oportunidades – Debilidades – Amenazas).</t>
  </si>
  <si>
    <t>3 iconos superiores: RESUMEN FODA | RESUMEN DE ESTRATEGIAS | CRONOGRAMA
Sub-tabs: FODA | Estrategias FODA</t>
  </si>
  <si>
    <t>Matriz FODA visual (4 cuadrantes: F, O, D, A)
Cada cuadrante: campo de texto + botón + (icono editar, icono eliminar)</t>
  </si>
  <si>
    <t>Diseño visual fuerte con cuadrantes en blanco y negro. Muy gráfico.</t>
  </si>
  <si>
    <t>Resumen de estrategias y priorización de debilidades elegidas.</t>
  </si>
  <si>
    <t>3 iconos superiores: RESUMEN FODA | RESUMEN DE ESTRATEGIAS | CRONOGRAMA</t>
  </si>
  <si>
    <t>Resumen autogenerado de fortalezas y debilidades seleccionadas</t>
  </si>
  <si>
    <t>Vista de resumen basada en datos capturados anteriormente</t>
  </si>
  <si>
    <t>Visualiza y gestiona el tiempo de los proyectos para alcanzar objetivos.</t>
  </si>
  <si>
    <t>Gestor de tareas y proyectos con fechas de inicio/fin, responsables</t>
  </si>
  <si>
    <t>Herramienta de planificación temporal de estrategias</t>
  </si>
  <si>
    <t>PLANEACIÓN FINANCIERA  |  Inventario de Pantallas y Elementos de UI</t>
  </si>
  <si>
    <t>▶  ANÁLISIS FINANCIERO HISTÓRICO</t>
  </si>
  <si>
    <t>Ventas</t>
  </si>
  <si>
    <t>Captura de datos históricos de ventas, costos, gastos y otras partidas.</t>
  </si>
  <si>
    <t>6 iconos superiores: Ventas | Costo | Gastos | Otras partidas | Capital de trabajo | Gráfico de ciclidad ventas
Sub-tabs de Ventas: Ventas Históricas | Devoluciones | Ventas totales Históricas | Suma de Devoluciones Históricas | Ventas totales y devoluciones desglosadas</t>
  </si>
  <si>
    <t>AGREGAR LÍNEA DE SERVICIO / PRODUCTO | INSTRUCCIONES DE CAPTURA</t>
  </si>
  <si>
    <t>Tabla de captura por línea de producto/servicio
Campo de texto para nombre de línea</t>
  </si>
  <si>
    <t>Sección más compleja de captura de datos. Múltiples sub-tabs.</t>
  </si>
  <si>
    <t>Estado de Resultado</t>
  </si>
  <si>
    <t>Estado de resultado financiero anual del negocio.</t>
  </si>
  <si>
    <t>Ninguno</t>
  </si>
  <si>
    <t>IMPRIMIR ESTADO DE RESULTADO | INSTRUCCIONES | Ver detalle por mes (dropdown)</t>
  </si>
  <si>
    <t>Tabla financiera con:
- Ingresos: Devoluciones, Otros ingresos, Ventas/Ingresos netos
- Costo de ventas: Total costo de ventas
- Utilidad bruta
- Gastos de operación/administración
Columna: Total 2025 | % del total
Celdas editables en blanco</t>
  </si>
  <si>
    <t>Empresa visible: 'Tenryu'. Muestra datos anuales y detalle mensual.</t>
  </si>
  <si>
    <t>Estado de flujo de efectivo mensual del negocio.</t>
  </si>
  <si>
    <t>Dropdown: Todos (filtro de líneas)</t>
  </si>
  <si>
    <t>Tabla mensual (Ene-2025 a Dic-2025+)
Filas: Actividades de operación (Cobro a clientes, Pagos a proveedores, Pagos por gastos, Pagos impuestos, Otros ingresos), Flujos por operación
Actividades de inversión (Equipo de oficina, Equipo de cómputo...)
Celdas numéricas editables</t>
  </si>
  <si>
    <t>Tabla ancha con scroll horizontal. Celdas de entrada numérica.</t>
  </si>
  <si>
    <t>▶  PROYECCIÓN FINANCIERA</t>
  </si>
  <si>
    <t>Menú de acceso a todas las herramientas de proyección financiera.</t>
  </si>
  <si>
    <t>Ninguno (es menú de iconos)</t>
  </si>
  <si>
    <t>INSTRUCCIONES | FUENTES DE INFORMACIÓN</t>
  </si>
  <si>
    <t>9 iconos de acceso: Datos Macroeconómicos | Proyección Ventas | Resumen Ventas | Proyección Devoluciones | Proyección Costo | Resumen Costo | Proyección Gastos | Proyección Otras Partidas | Flujos de Efectivo</t>
  </si>
  <si>
    <t>Página tipo dashboard/menú con iconos grandes y descriptivos</t>
  </si>
  <si>
    <t>Vista consolidada de proyecciones financieras mensuales vs año base.</t>
  </si>
  <si>
    <t>INSTRUCCIONES | Mostrar todos los meses (dropdown)</t>
  </si>
  <si>
    <t>Tabla de estados financieros proyectados:
Columnas: Anual Año 2025 | Mensual 30/01/2026 | 28/02/2026 | 31/03/2026...
Filas: Ingresos (Otros ingresos, Devoluciones, Ventas/Ingresos netos), Costo de Ventas, Utilidad Bruta, Gastos de Operación
Cada celda muestra valor + %</t>
  </si>
  <si>
    <t>Vista de solo lectura/consulta. Tabla muy ancha con scroll horizontal.</t>
  </si>
  <si>
    <t>Bonos Totales</t>
  </si>
  <si>
    <t>Herramientas de cotización financiera para bonos, créditos, leasing e inversiones.</t>
  </si>
  <si>
    <t>5 iconos superiores: Bonos Totales | Créditos Largo Plazo | Créditos Capital Trabajo | Leasing | Inversiones</t>
  </si>
  <si>
    <t>INSTRUCCIONES DE CAPTURA</t>
  </si>
  <si>
    <t>Tabla de bonos:
Columnas: Puesto | Sueldo Mensual $ | Meses Bono al 100% | Bono al 100% | Periodicidad de pago (dropdown) | Presupuesto mensual
Filas vacías para captura</t>
  </si>
  <si>
    <t>Cotizadores financieros. Cada pestaña tiene su propio formulario.</t>
  </si>
  <si>
    <t>▶  ANÁLISIS ACTUAL</t>
  </si>
  <si>
    <t>Ventas reales</t>
  </si>
  <si>
    <t>Captura de datos financieros reales del período actual para comparar con proyección.</t>
  </si>
  <si>
    <t>5 iconos superiores: Ventas | Costos | Gastos | Otras partidas | Balance general</t>
  </si>
  <si>
    <t>INSTRUCCIONES | Ver ventas y devoluciones totales</t>
  </si>
  <si>
    <t>Tabla de captura mensual:
Filas: Enero, Febrero, Marzo... Diciembre
Columnas: Total | Ingresos | Devoluciones | Neto
Celdas numéricas editables</t>
  </si>
  <si>
    <t>Captura de datos reales para comparar vs presupuesto</t>
  </si>
  <si>
    <t>Estado de Resultados Real vs Presupuesto</t>
  </si>
  <si>
    <t>Comparativo entre datos reales y presupuesto proyectado.</t>
  </si>
  <si>
    <t>3 iconos superiores: Estado de Resultados Real vs Presupuesto | Flujo de Efectivo vs Presupuesto | Guía de análisis</t>
  </si>
  <si>
    <t>INSTRUCCIONES</t>
  </si>
  <si>
    <t>Tabla comparativa mensual:
Columnas por mes: Real | Presupuesto | Diferencia
Filas: Ingresos (Otros ingresos, Devoluciones, Ventas/Ingresos netos), Costo de Ventas (Total), Utilidad Bruta, Gastos de Operación</t>
  </si>
  <si>
    <t>Vista analítica de varianza Real vs Presupuesto</t>
  </si>
  <si>
    <t>IDENTIDAD VISUAL ACTUAL  |  Mara Pérez – Asesora Empresarial</t>
  </si>
  <si>
    <t>Documentación de colores, tipografía y componentes del sistema de diseño actual</t>
  </si>
  <si>
    <t>🎨  PALETA DE COLORES</t>
  </si>
  <si>
    <t>Elemento</t>
  </si>
  <si>
    <t>Hex</t>
  </si>
  <si>
    <t>RGB</t>
  </si>
  <si>
    <t>Uso en el sitio</t>
  </si>
  <si>
    <t>Fondo oscuro (fondo principal)</t>
  </si>
  <si>
    <t>#3C3C3B</t>
  </si>
  <si>
    <t>60, 60, 59</t>
  </si>
  <si>
    <t>Fondo general, sidebar, nav, tarjetas</t>
  </si>
  <si>
    <t>Dorado principal (gold)</t>
  </si>
  <si>
    <t>#C8972B</t>
  </si>
  <si>
    <t>200, 151, 43</t>
  </si>
  <si>
    <t>Botones primarios, texto activo del menú, iconos activos</t>
  </si>
  <si>
    <t>Dorado claro (accent)</t>
  </si>
  <si>
    <t>#D4A843</t>
  </si>
  <si>
    <t>212, 168, 67</t>
  </si>
  <si>
    <t>Sub-encabezados, etiquetas de sección, acentos</t>
  </si>
  <si>
    <t>Blanco</t>
  </si>
  <si>
    <t>#FFFFFF</t>
  </si>
  <si>
    <t>255, 255, 255</t>
  </si>
  <si>
    <t>Textos principales, iconos, tarjetas de contenido</t>
  </si>
  <si>
    <t>Gris claro</t>
  </si>
  <si>
    <t>#F5F5F5</t>
  </si>
  <si>
    <t>245, 245, 245</t>
  </si>
  <si>
    <t>Fondos alternativos de filas</t>
  </si>
  <si>
    <t>Negro suave</t>
  </si>
  <si>
    <t>#2C2C2B</t>
  </si>
  <si>
    <t>44, 44, 43</t>
  </si>
  <si>
    <t>Texto en tarjetas blancas</t>
  </si>
  <si>
    <t>Rojo (alerta)</t>
  </si>
  <si>
    <t>#FF0000 (aprox)</t>
  </si>
  <si>
    <t>Rojo puro</t>
  </si>
  <si>
    <t>Indicadores de amenaza en análisis</t>
  </si>
  <si>
    <t>Verde (oportunidad)</t>
  </si>
  <si>
    <t>#00AA00 (aprox)</t>
  </si>
  <si>
    <t>Verde</t>
  </si>
  <si>
    <t>Indicadores de oportunidad en análisis</t>
  </si>
  <si>
    <t>🔤  TIPOGRAFÍA</t>
  </si>
  <si>
    <t>Fuente</t>
  </si>
  <si>
    <t>Tamaño / Estilo</t>
  </si>
  <si>
    <t>Observaciones</t>
  </si>
  <si>
    <t>Logo / Marca</t>
  </si>
  <si>
    <t>Script personalizada (Pinyon Script aprox.)</t>
  </si>
  <si>
    <t>Grande, dorado</t>
  </si>
  <si>
    <t>Fuente de display decorativa. 'Mara Pérez' en dorado, 'Asesora Empresarial' en blanco cursiva.</t>
  </si>
  <si>
    <t>Títulos de sección</t>
  </si>
  <si>
    <t>Sans-serif (Roboto / Inter aprox.)</t>
  </si>
  <si>
    <t>18-22px, bold, blanco</t>
  </si>
  <si>
    <t>Sobre fondo oscuro o dorado</t>
  </si>
  <si>
    <t>Subtítulos / Labels</t>
  </si>
  <si>
    <t>Sans-serif</t>
  </si>
  <si>
    <t>14-16px, normal, blanco/dorado</t>
  </si>
  <si>
    <t>Encabezados de tarjetas</t>
  </si>
  <si>
    <t>Texto de cuerpo</t>
  </si>
  <si>
    <t>13-14px, normal, blanco</t>
  </si>
  <si>
    <t>Descripciones, instrucciones, preguntas de formulario</t>
  </si>
  <si>
    <t>Texto de navegación</t>
  </si>
  <si>
    <t>13px, normal</t>
  </si>
  <si>
    <t>Blanco inactivo → dorado activo con indicador amarillo</t>
  </si>
  <si>
    <t>12-13px, MAYÚSCULAS, bold</t>
  </si>
  <si>
    <t>Botones primarios en dorado; secundarios en gris oscuro</t>
  </si>
  <si>
    <t>Etiquetas de categoría</t>
  </si>
  <si>
    <t>11px, bold</t>
  </si>
  <si>
    <t>Pills/chips en dorado redondeado para categorías en formularios</t>
  </si>
  <si>
    <t>🧩  COMPONENTES DE UI IDENTIFICADOS</t>
  </si>
  <si>
    <t>Componente</t>
  </si>
  <si>
    <t>Estilo actual</t>
  </si>
  <si>
    <t>Frecuencia</t>
  </si>
  <si>
    <t>Notas para rediseño</t>
  </si>
  <si>
    <t>Sidebar de navegación</t>
  </si>
  <si>
    <t>Fondo #3C3C3B, ítems en blanco, activo en dorado con borde izquierdo dorado, collapse/expand con flechas</t>
  </si>
  <si>
    <t>En todas las páginas</t>
  </si>
  <si>
    <t>Evaluar sidebar colapsable o navegación top en rediseño</t>
  </si>
  <si>
    <t>Header / Navbar superior</t>
  </si>
  <si>
    <t>Logo centrado + avatar usuario derecha + botón collapse izquierda, fondo gris oscuro</t>
  </si>
  <si>
    <t>Agregar breadcrumbs o indicador de sección activa</t>
  </si>
  <si>
    <t>Iconos de navegación horizontal</t>
  </si>
  <si>
    <t>Grid de 3-6 iconos grandes SVG blancos sobre fondo oscuro, el activo se ilumina en dorado</t>
  </si>
  <si>
    <t>El Mercado, FODA, Cotizadores, Captura, Consulta</t>
  </si>
  <si>
    <t>Patrón consistente. Buen componente para mantener.</t>
  </si>
  <si>
    <t>Botón primario</t>
  </si>
  <si>
    <t>Fondo dorado (#C8972B), texto MAYÚSCULAS blanco, rounded, sin sombra</t>
  </si>
  <si>
    <t>Agregar estados hover/focus/disabled claros</t>
  </si>
  <si>
    <t>Botón secundario</t>
  </si>
  <si>
    <t>Fondo gris oscuro, texto blanco</t>
  </si>
  <si>
    <t>Instrucciones, descarga</t>
  </si>
  <si>
    <t>Diferenciar mejor del primario</t>
  </si>
  <si>
    <t>Dropdown / Select</t>
  </si>
  <si>
    <t>Fondo gris claro, texto oscuro, flecha pequeña, borde redondeado</t>
  </si>
  <si>
    <t>Formularios de análisis</t>
  </si>
  <si>
    <t>Estandarizar tamaño y estilo</t>
  </si>
  <si>
    <t>Campo de texto (input)</t>
  </si>
  <si>
    <t>Fondo gris claro/blanco, borde sutil, texto oscuro, redondeado</t>
  </si>
  <si>
    <t>Formularios</t>
  </si>
  <si>
    <t>Agregar placeholder y validación visual</t>
  </si>
  <si>
    <t>Textarea (campo grande)</t>
  </si>
  <si>
    <t>Fondo gris, borde sutil, múltiples líneas</t>
  </si>
  <si>
    <t>El cliente, FODA</t>
  </si>
  <si>
    <t>Definir altura mínima consistente</t>
  </si>
  <si>
    <t>Tarjeta (card)</t>
  </si>
  <si>
    <t>Fondo gris oscuro (#3C3C3B), border-radius, sin sombra aparente</t>
  </si>
  <si>
    <t>Secciones de contenido</t>
  </si>
  <si>
    <t>Considerar sombra suave para jerarquía</t>
  </si>
  <si>
    <t>Botón con ícono (descarga ↓)</t>
  </si>
  <si>
    <t>Cuadrado dorado, ícono blanco, esquina superior derecha de tarjeta</t>
  </si>
  <si>
    <t>El Mercado, FODA, Análisis</t>
  </si>
  <si>
    <t>Tooltip sería útil para claridad</t>
  </si>
  <si>
    <t>Tabla de datos</t>
  </si>
  <si>
    <t>Encabezados dorados, filas alternadas gris/blanco, celdas editables en blanco</t>
  </si>
  <si>
    <t>Datos Históricos, Flujo, Cotizadores</t>
  </si>
  <si>
    <t>Mejorar responsive y scroll horizontal</t>
  </si>
  <si>
    <t>Pill / Chip de categoría</t>
  </si>
  <si>
    <t>Fondo dorado, texto blanco, muy redondeado</t>
  </si>
  <si>
    <t>Consistente con marca. Mantener en rediseño.</t>
  </si>
  <si>
    <t>Footer</t>
  </si>
  <si>
    <t>Texto '© 2026, made with ❤ Mangoo software' centrado, fondo oscuro</t>
  </si>
  <si>
    <t>Evaluar si incluir links o info adicional</t>
  </si>
  <si>
    <t>FAQ widget</t>
  </si>
  <si>
    <t>Texto '¿Necesitas ayuda?' + botón FAQ en esquina inferior izquierda</t>
  </si>
  <si>
    <t>Chatbot o ayuda contextual podría reemplazarlo</t>
  </si>
  <si>
    <t>Botón Scroll to top (↑)</t>
  </si>
  <si>
    <t>Botón redondo dorado esquina inferior derecha</t>
  </si>
  <si>
    <t>En páginas largas</t>
  </si>
  <si>
    <t>Mantener en rediseño</t>
  </si>
  <si>
    <t>Matriz FODA</t>
  </si>
  <si>
    <t>4 cuadrantes B&amp;N con letras F/O/D/A en círculos grandes, campos de entrada en cada cuadrante</t>
  </si>
  <si>
    <t>Solo en FODA</t>
  </si>
  <si>
    <t>Diseño muy visual. Elemento único y destacado.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</si>
</sst>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6B6B6B"/>
      <name val="Arial"/>
      <family val="2"/>
    </font>
    <font>
      <b/>
      <sz val="11"/>
      <color rgb="FFFFFFFF"/>
      <name val="Arial"/>
      <family val="2"/>
    </font>
    <font>
      <sz val="9"/>
      <color rgb="FF2C2C2B"/>
      <name val="Arial"/>
      <family val="2"/>
    </font>
    <font>
      <u/>
      <sz val="9"/>
      <color rgb="FF0563C1"/>
      <name val="Arial"/>
      <family val="2"/>
    </font>
    <font>
      <b/>
      <sz val="13"/>
      <color rgb="FFFFFFFF"/>
      <name val="Arial"/>
      <family val="2"/>
    </font>
    <font>
      <i/>
      <sz val="9"/>
      <color rgb="FF6B6B6B"/>
      <name val="Arial"/>
      <family val="2"/>
    </font>
    <font>
      <b/>
      <sz val="10"/>
      <color rgb="FF2C2C2B"/>
      <name val="Arial"/>
      <family val="2"/>
    </font>
    <font>
      <b/>
      <sz val="9"/>
      <color rgb="FF2C2C2B"/>
      <name val="Arial"/>
      <family val="2"/>
    </font>
    <font>
      <b/>
      <sz val="9"/>
      <color rgb="FFFFFFFF"/>
      <name val="Arial"/>
      <family val="2"/>
    </font>
    <font>
      <sz val="10"/>
      <color rgb="FFC8972B"/>
      <name val="Arial"/>
      <family val="2"/>
    </font>
    <font>
      <b/>
      <sz val="10"/>
      <color rgb="FFFFFFFF"/>
      <name val="Arial"/>
      <family val="2"/>
    </font>
    <font>
      <b/>
      <sz val="10"/>
      <color rgb="FF3C3C3B"/>
      <name val="Arial"/>
      <family val="2"/>
    </font>
    <font>
      <sz val="9"/>
      <color rgb="FF3C3C3B"/>
      <name val="Arial"/>
      <family val="2"/>
    </font>
    <font>
      <u/>
      <sz val="10"/>
      <color rgb="FF0563C1"/>
      <name val="Arial"/>
      <family val="2"/>
    </font>
    <font>
      <i/>
      <sz val="9"/>
      <color rgb="FF55555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C3C3B"/>
      </patternFill>
    </fill>
    <fill>
      <patternFill patternType="solid">
        <fgColor rgb="FFF5F5F5"/>
      </patternFill>
    </fill>
    <fill>
      <patternFill patternType="solid">
        <fgColor rgb="FFC8972B"/>
      </patternFill>
    </fill>
    <fill>
      <patternFill patternType="solid">
        <fgColor rgb="FFFFFFFF"/>
      </patternFill>
    </fill>
    <fill>
      <patternFill patternType="solid">
        <fgColor rgb="FFD4A843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2C2C2B"/>
      </patternFill>
    </fill>
    <fill>
      <patternFill patternType="solid">
        <fgColor rgb="FF1A1A1A"/>
      </patternFill>
    </fill>
    <fill>
      <patternFill patternType="solid">
        <fgColor rgb="FFF5E6C8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13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vertical="center"/>
    </xf>
    <xf numFmtId="0" fontId="13" fillId="12" borderId="0" xfId="0" applyFont="1" applyFill="1" applyAlignment="1">
      <alignment vertical="center"/>
    </xf>
    <xf numFmtId="0" fontId="15" fillId="1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D26" sqref="D26"/>
    </sheetView>
  </sheetViews>
  <sheetFormatPr baseColWidth="10" defaultColWidth="8.83203125" defaultRowHeight="15" x14ac:dyDescent="0.2"/>
  <cols>
    <col min="1" max="1" width="5" customWidth="1"/>
    <col min="2" max="3" width="30" customWidth="1"/>
    <col min="4" max="4" width="35" customWidth="1"/>
    <col min="5" max="5" width="45" customWidth="1"/>
  </cols>
  <sheetData>
    <row r="1" spans="1:5" ht="36" customHeight="1" x14ac:dyDescent="0.2">
      <c r="A1" s="28" t="s">
        <v>0</v>
      </c>
      <c r="B1" s="27"/>
      <c r="C1" s="27"/>
      <c r="D1" s="27"/>
      <c r="E1" s="27"/>
    </row>
    <row r="2" spans="1:5" ht="18" customHeight="1" x14ac:dyDescent="0.2">
      <c r="A2" s="26" t="s">
        <v>1</v>
      </c>
      <c r="B2" s="27"/>
      <c r="C2" s="27"/>
      <c r="D2" s="27"/>
      <c r="E2" s="27"/>
    </row>
    <row r="4" spans="1:5" ht="22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6" customHeight="1" x14ac:dyDescent="0.2">
      <c r="B5" s="2" t="s">
        <v>6</v>
      </c>
      <c r="C5" s="2" t="s">
        <v>7</v>
      </c>
      <c r="D5" s="2" t="s">
        <v>8</v>
      </c>
      <c r="E5" s="3" t="s">
        <v>9</v>
      </c>
    </row>
    <row r="6" spans="1:5" ht="16" customHeight="1" x14ac:dyDescent="0.2">
      <c r="B6" s="4"/>
      <c r="C6" s="4"/>
      <c r="D6" s="4" t="s">
        <v>10</v>
      </c>
      <c r="E6" s="3" t="s">
        <v>11</v>
      </c>
    </row>
    <row r="7" spans="1:5" ht="16" customHeight="1" x14ac:dyDescent="0.2">
      <c r="B7" s="2"/>
      <c r="C7" s="2"/>
      <c r="D7" s="2" t="s">
        <v>12</v>
      </c>
      <c r="E7" s="3" t="s">
        <v>11</v>
      </c>
    </row>
    <row r="8" spans="1:5" ht="16" customHeight="1" x14ac:dyDescent="0.2">
      <c r="B8" s="4"/>
      <c r="C8" s="4"/>
      <c r="D8" s="4" t="s">
        <v>13</v>
      </c>
      <c r="E8" s="3" t="s">
        <v>14</v>
      </c>
    </row>
    <row r="9" spans="1:5" ht="16" customHeight="1" x14ac:dyDescent="0.2">
      <c r="B9" s="2"/>
      <c r="C9" s="2"/>
      <c r="D9" s="2" t="s">
        <v>15</v>
      </c>
      <c r="E9" s="3" t="s">
        <v>16</v>
      </c>
    </row>
    <row r="10" spans="1:5" ht="16" customHeight="1" x14ac:dyDescent="0.2">
      <c r="B10" s="4"/>
      <c r="C10" s="4"/>
      <c r="D10" s="4" t="s">
        <v>17</v>
      </c>
      <c r="E10" s="3" t="s">
        <v>18</v>
      </c>
    </row>
    <row r="11" spans="1:5" ht="16" customHeight="1" x14ac:dyDescent="0.2">
      <c r="B11" s="2"/>
      <c r="C11" s="2" t="s">
        <v>19</v>
      </c>
      <c r="D11" s="2" t="s">
        <v>20</v>
      </c>
      <c r="E11" s="3" t="s">
        <v>21</v>
      </c>
    </row>
    <row r="12" spans="1:5" ht="16" customHeight="1" x14ac:dyDescent="0.2">
      <c r="B12" s="4"/>
      <c r="C12" s="4"/>
      <c r="D12" s="4" t="s">
        <v>22</v>
      </c>
      <c r="E12" s="3" t="s">
        <v>23</v>
      </c>
    </row>
    <row r="13" spans="1:5" ht="16" customHeight="1" x14ac:dyDescent="0.2">
      <c r="B13" s="2"/>
      <c r="C13" s="2"/>
      <c r="D13" s="2" t="s">
        <v>24</v>
      </c>
      <c r="E13" s="3" t="s">
        <v>25</v>
      </c>
    </row>
    <row r="14" spans="1:5" ht="16" customHeight="1" x14ac:dyDescent="0.2">
      <c r="B14" s="4" t="s">
        <v>26</v>
      </c>
      <c r="C14" s="4" t="s">
        <v>27</v>
      </c>
      <c r="D14" s="4" t="s">
        <v>28</v>
      </c>
      <c r="E14" s="3" t="s">
        <v>29</v>
      </c>
    </row>
    <row r="15" spans="1:5" ht="16" customHeight="1" x14ac:dyDescent="0.2">
      <c r="B15" s="2"/>
      <c r="C15" s="2"/>
      <c r="D15" s="2" t="s">
        <v>17</v>
      </c>
      <c r="E15" s="3" t="s">
        <v>30</v>
      </c>
    </row>
    <row r="16" spans="1:5" ht="16" customHeight="1" x14ac:dyDescent="0.2">
      <c r="B16" s="4"/>
      <c r="C16" s="4"/>
      <c r="D16" s="4" t="s">
        <v>31</v>
      </c>
      <c r="E16" s="3" t="s">
        <v>32</v>
      </c>
    </row>
    <row r="17" spans="2:5" ht="16" customHeight="1" x14ac:dyDescent="0.2">
      <c r="B17" s="2"/>
      <c r="C17" s="2" t="s">
        <v>33</v>
      </c>
      <c r="D17" s="2" t="s">
        <v>34</v>
      </c>
      <c r="E17" s="3" t="s">
        <v>35</v>
      </c>
    </row>
    <row r="18" spans="2:5" ht="16" customHeight="1" x14ac:dyDescent="0.2">
      <c r="B18" s="4"/>
      <c r="C18" s="4"/>
      <c r="D18" s="4" t="s">
        <v>36</v>
      </c>
      <c r="E18" s="3" t="s">
        <v>37</v>
      </c>
    </row>
    <row r="19" spans="2:5" ht="16" customHeight="1" x14ac:dyDescent="0.2">
      <c r="B19" s="2"/>
      <c r="C19" s="2"/>
      <c r="D19" s="2" t="s">
        <v>38</v>
      </c>
      <c r="E19" s="3" t="s">
        <v>39</v>
      </c>
    </row>
    <row r="20" spans="2:5" ht="16" customHeight="1" x14ac:dyDescent="0.2">
      <c r="B20" s="4"/>
      <c r="C20" s="4" t="s">
        <v>40</v>
      </c>
      <c r="D20" s="4" t="s">
        <v>41</v>
      </c>
      <c r="E20" s="3" t="s">
        <v>42</v>
      </c>
    </row>
    <row r="21" spans="2:5" ht="16" customHeight="1" x14ac:dyDescent="0.2">
      <c r="B21" s="2"/>
      <c r="C21" s="2"/>
      <c r="D21" s="2" t="s">
        <v>43</v>
      </c>
      <c r="E21" s="3" t="s">
        <v>44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30" customWidth="1"/>
    <col min="4" max="4" width="26" customWidth="1"/>
    <col min="5" max="5" width="50" customWidth="1"/>
  </cols>
  <sheetData>
    <row r="1" spans="1:5" ht="35" customHeight="1" x14ac:dyDescent="0.2">
      <c r="A1" s="28" t="s">
        <v>45</v>
      </c>
      <c r="B1" s="27"/>
      <c r="C1" s="27"/>
      <c r="D1" s="27"/>
      <c r="E1" s="27"/>
    </row>
    <row r="2" spans="1:5" ht="22" customHeight="1" x14ac:dyDescent="0.2">
      <c r="A2" s="29" t="s">
        <v>46</v>
      </c>
      <c r="B2" s="27"/>
      <c r="C2" s="27"/>
      <c r="D2" s="27"/>
      <c r="E2" s="27"/>
    </row>
    <row r="3" spans="1:5" ht="8" customHeight="1" x14ac:dyDescent="0.2"/>
    <row r="4" spans="1:5" ht="22" customHeight="1" x14ac:dyDescent="0.2">
      <c r="A4" s="17" t="s">
        <v>47</v>
      </c>
      <c r="B4" s="17" t="s">
        <v>3</v>
      </c>
      <c r="C4" s="17" t="s">
        <v>4</v>
      </c>
      <c r="D4" s="17" t="s">
        <v>48</v>
      </c>
      <c r="E4" s="17" t="s">
        <v>49</v>
      </c>
    </row>
    <row r="5" spans="1:5" ht="26" customHeight="1" x14ac:dyDescent="0.2">
      <c r="A5" s="31" t="s">
        <v>50</v>
      </c>
      <c r="B5" s="27"/>
      <c r="C5" s="27"/>
      <c r="D5" s="27"/>
      <c r="E5" s="27"/>
    </row>
    <row r="6" spans="1:5" ht="24" customHeight="1" x14ac:dyDescent="0.2">
      <c r="A6" s="18">
        <v>1</v>
      </c>
      <c r="B6" s="19" t="s">
        <v>6</v>
      </c>
      <c r="C6" s="19" t="s">
        <v>7</v>
      </c>
      <c r="D6" s="20" t="s">
        <v>51</v>
      </c>
      <c r="E6" s="21" t="str">
        <f>HYPERLINK("http://tmpfiles.org/dl/26515471/el_mercado.jpg", "📷 Ver captura: El Mercado")</f>
        <v>📷 Ver captura: El Mercado</v>
      </c>
    </row>
    <row r="7" spans="1:5" ht="24" customHeight="1" x14ac:dyDescent="0.2">
      <c r="A7" s="22">
        <v>2</v>
      </c>
      <c r="B7" s="23" t="s">
        <v>6</v>
      </c>
      <c r="C7" s="23" t="s">
        <v>7</v>
      </c>
      <c r="D7" s="24" t="s">
        <v>13</v>
      </c>
      <c r="E7" s="25" t="str">
        <f>HYPERLINK("http://tmpfiles.org/dl/26515476/analisis_interno.jpg", "📷 Ver captura: Análisis Interno")</f>
        <v>📷 Ver captura: Análisis Interno</v>
      </c>
    </row>
    <row r="8" spans="1:5" ht="24" customHeight="1" x14ac:dyDescent="0.2">
      <c r="A8" s="18">
        <v>3</v>
      </c>
      <c r="B8" s="19" t="s">
        <v>6</v>
      </c>
      <c r="C8" s="19" t="s">
        <v>7</v>
      </c>
      <c r="D8" s="20" t="s">
        <v>15</v>
      </c>
      <c r="E8" s="21" t="str">
        <f>HYPERLINK("http://tmpfiles.org/dl/26515479/el_cliente.jpg", "📷 Ver captura: El cliente")</f>
        <v>📷 Ver captura: El cliente</v>
      </c>
    </row>
    <row r="9" spans="1:5" ht="24" customHeight="1" x14ac:dyDescent="0.2">
      <c r="A9" s="22">
        <v>4</v>
      </c>
      <c r="B9" s="23" t="s">
        <v>6</v>
      </c>
      <c r="C9" s="23" t="s">
        <v>7</v>
      </c>
      <c r="D9" s="24" t="s">
        <v>17</v>
      </c>
      <c r="E9" s="25" t="str">
        <f>HYPERLINK("http://tmpfiles.org/dl/26515484/estado_de_resultados.jpg", "📷 Ver captura: Estado de resultados")</f>
        <v>📷 Ver captura: Estado de resultados</v>
      </c>
    </row>
    <row r="10" spans="1:5" ht="24" customHeight="1" x14ac:dyDescent="0.2">
      <c r="A10" s="18">
        <v>5</v>
      </c>
      <c r="B10" s="19" t="s">
        <v>6</v>
      </c>
      <c r="C10" s="19" t="s">
        <v>19</v>
      </c>
      <c r="D10" s="20" t="s">
        <v>20</v>
      </c>
      <c r="E10" s="21" t="str">
        <f>HYPERLINK("http://tmpfiles.org/dl/26515490/foda.jpg", "📷 Ver captura: FODA")</f>
        <v>📷 Ver captura: FODA</v>
      </c>
    </row>
    <row r="11" spans="1:5" ht="24" customHeight="1" x14ac:dyDescent="0.2">
      <c r="A11" s="22">
        <v>6</v>
      </c>
      <c r="B11" s="23" t="s">
        <v>6</v>
      </c>
      <c r="C11" s="23" t="s">
        <v>19</v>
      </c>
      <c r="D11" s="24" t="s">
        <v>22</v>
      </c>
      <c r="E11" s="25" t="str">
        <f>HYPERLINK("http://tmpfiles.org/dl/26515493/resumen_de_estrategias.jpg", "📷 Ver captura: Resumen de estrategias")</f>
        <v>📷 Ver captura: Resumen de estrategias</v>
      </c>
    </row>
    <row r="12" spans="1:5" ht="24" customHeight="1" x14ac:dyDescent="0.2">
      <c r="A12" s="18">
        <v>7</v>
      </c>
      <c r="B12" s="19" t="s">
        <v>6</v>
      </c>
      <c r="C12" s="19" t="s">
        <v>19</v>
      </c>
      <c r="D12" s="20" t="s">
        <v>24</v>
      </c>
      <c r="E12" s="21" t="str">
        <f>HYPERLINK("http://tmpfiles.org/dl/26515495/cronograma.jpg", "📷 Ver captura: Cronograma")</f>
        <v>📷 Ver captura: Cronograma</v>
      </c>
    </row>
    <row r="13" spans="1:5" ht="26" customHeight="1" x14ac:dyDescent="0.2">
      <c r="A13" s="31" t="s">
        <v>52</v>
      </c>
      <c r="B13" s="27"/>
      <c r="C13" s="27"/>
      <c r="D13" s="27"/>
      <c r="E13" s="27"/>
    </row>
    <row r="14" spans="1:5" ht="24" customHeight="1" x14ac:dyDescent="0.2">
      <c r="A14" s="22">
        <v>8</v>
      </c>
      <c r="B14" s="23" t="s">
        <v>26</v>
      </c>
      <c r="C14" s="23" t="s">
        <v>27</v>
      </c>
      <c r="D14" s="24" t="s">
        <v>53</v>
      </c>
      <c r="E14" s="25" t="str">
        <f>HYPERLINK("http://tmpfiles.org/dl/26515498/datos_historicos.jpg", "📷 Ver captura: Datos Históricos")</f>
        <v>📷 Ver captura: Datos Históricos</v>
      </c>
    </row>
    <row r="15" spans="1:5" ht="24" customHeight="1" x14ac:dyDescent="0.2">
      <c r="A15" s="18">
        <v>9</v>
      </c>
      <c r="B15" s="19" t="s">
        <v>26</v>
      </c>
      <c r="C15" s="19" t="s">
        <v>27</v>
      </c>
      <c r="D15" s="20" t="s">
        <v>17</v>
      </c>
      <c r="E15" s="21" t="str">
        <f>HYPERLINK("http://tmpfiles.org/dl/26515501/estado_de_resultados.jpg", "📷 Ver captura: Estado de resultados")</f>
        <v>📷 Ver captura: Estado de resultados</v>
      </c>
    </row>
    <row r="16" spans="1:5" ht="24" customHeight="1" x14ac:dyDescent="0.2">
      <c r="A16" s="22">
        <v>10</v>
      </c>
      <c r="B16" s="23" t="s">
        <v>26</v>
      </c>
      <c r="C16" s="23" t="s">
        <v>27</v>
      </c>
      <c r="D16" s="24" t="s">
        <v>31</v>
      </c>
      <c r="E16" s="25" t="str">
        <f>HYPERLINK("http://tmpfiles.org/dl/26515505/flujo_de_efectivo.jpg", "📷 Ver captura: Flujo de efectivo")</f>
        <v>📷 Ver captura: Flujo de efectivo</v>
      </c>
    </row>
    <row r="17" spans="1:5" ht="24" customHeight="1" x14ac:dyDescent="0.2">
      <c r="A17" s="18">
        <v>11</v>
      </c>
      <c r="B17" s="19" t="s">
        <v>26</v>
      </c>
      <c r="C17" s="19" t="s">
        <v>33</v>
      </c>
      <c r="D17" s="20" t="s">
        <v>34</v>
      </c>
      <c r="E17" s="21" t="str">
        <f>HYPERLINK("http://tmpfiles.org/dl/26515513/menu_proyeccion.jpg", "📷 Ver captura: Menú Proyección")</f>
        <v>📷 Ver captura: Menú Proyección</v>
      </c>
    </row>
    <row r="18" spans="1:5" ht="24" customHeight="1" x14ac:dyDescent="0.2">
      <c r="A18" s="22">
        <v>12</v>
      </c>
      <c r="B18" s="23" t="s">
        <v>26</v>
      </c>
      <c r="C18" s="23" t="s">
        <v>33</v>
      </c>
      <c r="D18" s="24" t="s">
        <v>36</v>
      </c>
      <c r="E18" s="25" t="str">
        <f>HYPERLINK("http://tmpfiles.org/dl/26515516/consulta_de_proyeccion.jpg", "📷 Ver captura: Consulta de Proyección")</f>
        <v>📷 Ver captura: Consulta de Proyección</v>
      </c>
    </row>
    <row r="19" spans="1:5" ht="24" customHeight="1" x14ac:dyDescent="0.2">
      <c r="A19" s="18">
        <v>13</v>
      </c>
      <c r="B19" s="19" t="s">
        <v>26</v>
      </c>
      <c r="C19" s="19" t="s">
        <v>33</v>
      </c>
      <c r="D19" s="20" t="s">
        <v>38</v>
      </c>
      <c r="E19" s="21" t="str">
        <f>HYPERLINK("http://tmpfiles.org/dl/26515519/cotizadores.jpg", "📷 Ver captura: Cotizadores")</f>
        <v>📷 Ver captura: Cotizadores</v>
      </c>
    </row>
    <row r="20" spans="1:5" ht="24" customHeight="1" x14ac:dyDescent="0.2">
      <c r="A20" s="22">
        <v>14</v>
      </c>
      <c r="B20" s="23" t="s">
        <v>26</v>
      </c>
      <c r="C20" s="23" t="s">
        <v>40</v>
      </c>
      <c r="D20" s="24" t="s">
        <v>41</v>
      </c>
      <c r="E20" s="25" t="str">
        <f>HYPERLINK("http://tmpfiles.org/dl/26515522/captura_datos_reales.jpg", "📷 Ver captura: Captura datos reales")</f>
        <v>📷 Ver captura: Captura datos reales</v>
      </c>
    </row>
    <row r="21" spans="1:5" ht="24" customHeight="1" x14ac:dyDescent="0.2">
      <c r="A21" s="18">
        <v>15</v>
      </c>
      <c r="B21" s="19" t="s">
        <v>26</v>
      </c>
      <c r="C21" s="19" t="s">
        <v>40</v>
      </c>
      <c r="D21" s="20" t="s">
        <v>43</v>
      </c>
      <c r="E21" s="21" t="str">
        <f>HYPERLINK("http://tmpfiles.org/dl/26515526/consulta_de_datos.jpg", "📷 Ver captura: Consulta de datos")</f>
        <v>📷 Ver captura: Consulta de datos</v>
      </c>
    </row>
    <row r="23" spans="1:5" ht="36" customHeight="1" x14ac:dyDescent="0.2">
      <c r="A23" s="30" t="s">
        <v>54</v>
      </c>
      <c r="B23" s="27"/>
      <c r="C23" s="27"/>
      <c r="D23" s="27"/>
      <c r="E23" s="27"/>
    </row>
  </sheetData>
  <mergeCells count="5">
    <mergeCell ref="A2:E2"/>
    <mergeCell ref="A1:E1"/>
    <mergeCell ref="A23:E23"/>
    <mergeCell ref="A5:E5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3" customWidth="1"/>
    <col min="2" max="3" width="24" customWidth="1"/>
    <col min="4" max="4" width="28" customWidth="1"/>
    <col min="5" max="5" width="45" customWidth="1"/>
    <col min="6" max="7" width="40" customWidth="1"/>
    <col min="8" max="8" width="50" customWidth="1"/>
    <col min="9" max="9" width="38" customWidth="1"/>
  </cols>
  <sheetData>
    <row r="1" spans="1:10" ht="32" customHeight="1" x14ac:dyDescent="0.2">
      <c r="A1" s="32" t="s">
        <v>55</v>
      </c>
      <c r="B1" s="27"/>
      <c r="C1" s="27"/>
      <c r="D1" s="27"/>
      <c r="E1" s="27"/>
      <c r="F1" s="27"/>
      <c r="G1" s="27"/>
      <c r="H1" s="27"/>
      <c r="I1" s="27"/>
    </row>
    <row r="2" spans="1:10" ht="16" customHeight="1" x14ac:dyDescent="0.2">
      <c r="A2" s="36" t="s">
        <v>56</v>
      </c>
      <c r="B2" s="27"/>
      <c r="C2" s="27"/>
      <c r="D2" s="27"/>
      <c r="E2" s="27"/>
      <c r="F2" s="27"/>
      <c r="G2" s="27"/>
      <c r="H2" s="27"/>
      <c r="I2" s="27"/>
    </row>
    <row r="4" spans="1:10" ht="28" customHeight="1" x14ac:dyDescent="0.2">
      <c r="B4" s="1" t="s">
        <v>3</v>
      </c>
      <c r="C4" s="1" t="s">
        <v>4</v>
      </c>
      <c r="D4" s="1" t="s">
        <v>48</v>
      </c>
      <c r="E4" s="1" t="s">
        <v>5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</row>
    <row r="5" spans="1:10" ht="20" customHeight="1" x14ac:dyDescent="0.2">
      <c r="B5" s="33" t="s">
        <v>62</v>
      </c>
      <c r="C5" s="34"/>
      <c r="D5" s="34"/>
      <c r="E5" s="34"/>
      <c r="F5" s="34"/>
      <c r="G5" s="34"/>
      <c r="H5" s="34"/>
      <c r="I5" s="34"/>
      <c r="J5" s="35"/>
    </row>
    <row r="6" spans="1:10" ht="80" customHeight="1" x14ac:dyDescent="0.2">
      <c r="B6" s="2" t="s">
        <v>7</v>
      </c>
      <c r="C6" s="2" t="s">
        <v>51</v>
      </c>
      <c r="D6" s="5" t="s">
        <v>63</v>
      </c>
      <c r="E6" s="3" t="s">
        <v>9</v>
      </c>
      <c r="F6" s="2" t="s">
        <v>64</v>
      </c>
      <c r="G6" s="6" t="s">
        <v>65</v>
      </c>
      <c r="H6" s="7" t="s">
        <v>66</v>
      </c>
      <c r="I6" s="2" t="s">
        <v>67</v>
      </c>
      <c r="J6" s="2" t="s">
        <v>68</v>
      </c>
    </row>
    <row r="7" spans="1:10" ht="80" customHeight="1" x14ac:dyDescent="0.2">
      <c r="B7" s="4" t="s">
        <v>7</v>
      </c>
      <c r="C7" s="4" t="s">
        <v>51</v>
      </c>
      <c r="D7" s="5" t="s">
        <v>69</v>
      </c>
      <c r="E7" s="3" t="s">
        <v>9</v>
      </c>
      <c r="F7" s="4" t="s">
        <v>70</v>
      </c>
      <c r="G7" s="6" t="s">
        <v>71</v>
      </c>
      <c r="H7" s="7" t="s">
        <v>72</v>
      </c>
      <c r="I7" s="4" t="s">
        <v>73</v>
      </c>
      <c r="J7" s="4" t="s">
        <v>74</v>
      </c>
    </row>
    <row r="8" spans="1:10" ht="80" customHeight="1" x14ac:dyDescent="0.2">
      <c r="B8" s="2" t="s">
        <v>7</v>
      </c>
      <c r="C8" s="2" t="s">
        <v>51</v>
      </c>
      <c r="D8" s="5" t="s">
        <v>75</v>
      </c>
      <c r="E8" s="3" t="s">
        <v>9</v>
      </c>
      <c r="F8" s="2" t="s">
        <v>76</v>
      </c>
      <c r="G8" s="6" t="s">
        <v>71</v>
      </c>
      <c r="H8" s="7" t="s">
        <v>72</v>
      </c>
      <c r="I8" s="2" t="s">
        <v>77</v>
      </c>
      <c r="J8" s="2" t="s">
        <v>78</v>
      </c>
    </row>
    <row r="9" spans="1:10" ht="80" customHeight="1" x14ac:dyDescent="0.2">
      <c r="B9" s="4" t="s">
        <v>7</v>
      </c>
      <c r="C9" s="4" t="s">
        <v>13</v>
      </c>
      <c r="D9" s="5" t="s">
        <v>13</v>
      </c>
      <c r="E9" s="3" t="s">
        <v>14</v>
      </c>
      <c r="F9" s="4" t="s">
        <v>79</v>
      </c>
      <c r="G9" s="6" t="s">
        <v>80</v>
      </c>
      <c r="H9" s="7" t="s">
        <v>81</v>
      </c>
      <c r="I9" s="4" t="s">
        <v>82</v>
      </c>
      <c r="J9" s="4" t="s">
        <v>83</v>
      </c>
    </row>
    <row r="10" spans="1:10" ht="80" customHeight="1" x14ac:dyDescent="0.2">
      <c r="B10" s="2" t="s">
        <v>7</v>
      </c>
      <c r="C10" s="2" t="s">
        <v>15</v>
      </c>
      <c r="D10" s="5" t="s">
        <v>84</v>
      </c>
      <c r="E10" s="3" t="s">
        <v>16</v>
      </c>
      <c r="F10" s="2" t="s">
        <v>85</v>
      </c>
      <c r="G10" s="6" t="s">
        <v>86</v>
      </c>
      <c r="H10" s="7" t="s">
        <v>81</v>
      </c>
      <c r="I10" s="2" t="s">
        <v>87</v>
      </c>
      <c r="J10" s="2" t="s">
        <v>88</v>
      </c>
    </row>
    <row r="11" spans="1:10" ht="80" customHeight="1" x14ac:dyDescent="0.2">
      <c r="B11" s="4" t="s">
        <v>7</v>
      </c>
      <c r="C11" s="4" t="s">
        <v>17</v>
      </c>
      <c r="D11" s="5" t="s">
        <v>89</v>
      </c>
      <c r="E11" s="3" t="s">
        <v>18</v>
      </c>
      <c r="F11" s="4" t="s">
        <v>90</v>
      </c>
      <c r="G11" s="6" t="s">
        <v>86</v>
      </c>
      <c r="H11" s="7" t="s">
        <v>81</v>
      </c>
      <c r="I11" s="4" t="s">
        <v>91</v>
      </c>
      <c r="J11" s="4" t="s">
        <v>92</v>
      </c>
    </row>
    <row r="12" spans="1:10" ht="20" customHeight="1" x14ac:dyDescent="0.2">
      <c r="B12" s="33" t="s">
        <v>93</v>
      </c>
      <c r="C12" s="34"/>
      <c r="D12" s="34"/>
      <c r="E12" s="34"/>
      <c r="F12" s="34"/>
      <c r="G12" s="34"/>
      <c r="H12" s="34"/>
      <c r="I12" s="34"/>
      <c r="J12" s="35"/>
    </row>
    <row r="13" spans="1:10" ht="80" customHeight="1" x14ac:dyDescent="0.2">
      <c r="B13" s="4" t="s">
        <v>19</v>
      </c>
      <c r="C13" s="4" t="s">
        <v>20</v>
      </c>
      <c r="D13" s="5" t="s">
        <v>94</v>
      </c>
      <c r="E13" s="3" t="s">
        <v>21</v>
      </c>
      <c r="F13" s="4" t="s">
        <v>95</v>
      </c>
      <c r="G13" s="6" t="s">
        <v>96</v>
      </c>
      <c r="H13" s="7" t="s">
        <v>66</v>
      </c>
      <c r="I13" s="4" t="s">
        <v>97</v>
      </c>
      <c r="J13" s="4" t="s">
        <v>98</v>
      </c>
    </row>
    <row r="14" spans="1:10" ht="80" customHeight="1" x14ac:dyDescent="0.2">
      <c r="B14" s="2" t="s">
        <v>19</v>
      </c>
      <c r="C14" s="2" t="s">
        <v>22</v>
      </c>
      <c r="D14" s="5" t="s">
        <v>22</v>
      </c>
      <c r="E14" s="3" t="s">
        <v>23</v>
      </c>
      <c r="F14" s="2" t="s">
        <v>99</v>
      </c>
      <c r="G14" s="6" t="s">
        <v>100</v>
      </c>
      <c r="H14" s="7" t="s">
        <v>81</v>
      </c>
      <c r="I14" s="2" t="s">
        <v>101</v>
      </c>
      <c r="J14" s="2" t="s">
        <v>102</v>
      </c>
    </row>
    <row r="15" spans="1:10" ht="80" customHeight="1" x14ac:dyDescent="0.2">
      <c r="B15" s="4" t="s">
        <v>19</v>
      </c>
      <c r="C15" s="4" t="s">
        <v>24</v>
      </c>
      <c r="D15" s="5" t="s">
        <v>24</v>
      </c>
      <c r="E15" s="3" t="s">
        <v>25</v>
      </c>
      <c r="F15" s="4" t="s">
        <v>103</v>
      </c>
      <c r="G15" s="6" t="s">
        <v>100</v>
      </c>
      <c r="H15" s="7" t="s">
        <v>81</v>
      </c>
      <c r="I15" s="4" t="s">
        <v>104</v>
      </c>
      <c r="J15" s="4" t="s">
        <v>105</v>
      </c>
    </row>
  </sheetData>
  <mergeCells count="4">
    <mergeCell ref="A1:I1"/>
    <mergeCell ref="B12:J12"/>
    <mergeCell ref="B5:J5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3" customWidth="1"/>
    <col min="2" max="3" width="24" customWidth="1"/>
    <col min="4" max="4" width="28" customWidth="1"/>
    <col min="5" max="5" width="45" customWidth="1"/>
    <col min="6" max="7" width="40" customWidth="1"/>
    <col min="8" max="8" width="50" customWidth="1"/>
    <col min="9" max="9" width="38" customWidth="1"/>
  </cols>
  <sheetData>
    <row r="1" spans="1:10" ht="32" customHeight="1" x14ac:dyDescent="0.2">
      <c r="A1" s="32" t="s">
        <v>106</v>
      </c>
      <c r="B1" s="27"/>
      <c r="C1" s="27"/>
      <c r="D1" s="27"/>
      <c r="E1" s="27"/>
      <c r="F1" s="27"/>
      <c r="G1" s="27"/>
      <c r="H1" s="27"/>
      <c r="I1" s="27"/>
    </row>
    <row r="2" spans="1:10" ht="16" customHeight="1" x14ac:dyDescent="0.2">
      <c r="A2" s="36" t="s">
        <v>56</v>
      </c>
      <c r="B2" s="27"/>
      <c r="C2" s="27"/>
      <c r="D2" s="27"/>
      <c r="E2" s="27"/>
      <c r="F2" s="27"/>
      <c r="G2" s="27"/>
      <c r="H2" s="27"/>
      <c r="I2" s="27"/>
    </row>
    <row r="4" spans="1:10" ht="28" customHeight="1" x14ac:dyDescent="0.2">
      <c r="B4" s="1" t="s">
        <v>3</v>
      </c>
      <c r="C4" s="1" t="s">
        <v>4</v>
      </c>
      <c r="D4" s="1" t="s">
        <v>48</v>
      </c>
      <c r="E4" s="1" t="s">
        <v>5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</row>
    <row r="5" spans="1:10" ht="20" customHeight="1" x14ac:dyDescent="0.2">
      <c r="B5" s="33" t="s">
        <v>107</v>
      </c>
      <c r="C5" s="34"/>
      <c r="D5" s="34"/>
      <c r="E5" s="34"/>
      <c r="F5" s="34"/>
      <c r="G5" s="34"/>
      <c r="H5" s="34"/>
      <c r="I5" s="34"/>
      <c r="J5" s="35"/>
    </row>
    <row r="6" spans="1:10" ht="80" customHeight="1" x14ac:dyDescent="0.2">
      <c r="B6" s="2" t="s">
        <v>27</v>
      </c>
      <c r="C6" s="2" t="s">
        <v>53</v>
      </c>
      <c r="D6" s="5" t="s">
        <v>108</v>
      </c>
      <c r="E6" s="3" t="s">
        <v>29</v>
      </c>
      <c r="F6" s="2" t="s">
        <v>109</v>
      </c>
      <c r="G6" s="6" t="s">
        <v>110</v>
      </c>
      <c r="H6" s="7" t="s">
        <v>111</v>
      </c>
      <c r="I6" s="2" t="s">
        <v>112</v>
      </c>
      <c r="J6" s="2" t="s">
        <v>113</v>
      </c>
    </row>
    <row r="7" spans="1:10" ht="80" customHeight="1" x14ac:dyDescent="0.2">
      <c r="B7" s="4" t="s">
        <v>27</v>
      </c>
      <c r="C7" s="4" t="s">
        <v>17</v>
      </c>
      <c r="D7" s="5" t="s">
        <v>114</v>
      </c>
      <c r="E7" s="3" t="s">
        <v>30</v>
      </c>
      <c r="F7" s="4" t="s">
        <v>115</v>
      </c>
      <c r="G7" s="6" t="s">
        <v>116</v>
      </c>
      <c r="H7" s="7" t="s">
        <v>117</v>
      </c>
      <c r="I7" s="4" t="s">
        <v>118</v>
      </c>
      <c r="J7" s="4" t="s">
        <v>119</v>
      </c>
    </row>
    <row r="8" spans="1:10" ht="80" customHeight="1" x14ac:dyDescent="0.2">
      <c r="B8" s="2" t="s">
        <v>27</v>
      </c>
      <c r="C8" s="2" t="s">
        <v>31</v>
      </c>
      <c r="D8" s="5" t="s">
        <v>31</v>
      </c>
      <c r="E8" s="3" t="s">
        <v>32</v>
      </c>
      <c r="F8" s="2" t="s">
        <v>120</v>
      </c>
      <c r="G8" s="6" t="s">
        <v>116</v>
      </c>
      <c r="H8" s="7" t="s">
        <v>121</v>
      </c>
      <c r="I8" s="2" t="s">
        <v>122</v>
      </c>
      <c r="J8" s="2" t="s">
        <v>123</v>
      </c>
    </row>
    <row r="9" spans="1:10" ht="20" customHeight="1" x14ac:dyDescent="0.2">
      <c r="B9" s="33" t="s">
        <v>124</v>
      </c>
      <c r="C9" s="34"/>
      <c r="D9" s="34"/>
      <c r="E9" s="34"/>
      <c r="F9" s="34"/>
      <c r="G9" s="34"/>
      <c r="H9" s="34"/>
      <c r="I9" s="34"/>
      <c r="J9" s="35"/>
    </row>
    <row r="10" spans="1:10" ht="80" customHeight="1" x14ac:dyDescent="0.2">
      <c r="B10" s="2" t="s">
        <v>33</v>
      </c>
      <c r="C10" s="2" t="s">
        <v>34</v>
      </c>
      <c r="D10" s="5" t="s">
        <v>34</v>
      </c>
      <c r="E10" s="3" t="s">
        <v>35</v>
      </c>
      <c r="F10" s="2" t="s">
        <v>125</v>
      </c>
      <c r="G10" s="6" t="s">
        <v>126</v>
      </c>
      <c r="H10" s="7" t="s">
        <v>127</v>
      </c>
      <c r="I10" s="2" t="s">
        <v>128</v>
      </c>
      <c r="J10" s="2" t="s">
        <v>129</v>
      </c>
    </row>
    <row r="11" spans="1:10" ht="80" customHeight="1" x14ac:dyDescent="0.2">
      <c r="B11" s="4" t="s">
        <v>33</v>
      </c>
      <c r="C11" s="4" t="s">
        <v>36</v>
      </c>
      <c r="D11" s="5" t="s">
        <v>36</v>
      </c>
      <c r="E11" s="3" t="s">
        <v>37</v>
      </c>
      <c r="F11" s="4" t="s">
        <v>130</v>
      </c>
      <c r="G11" s="6" t="s">
        <v>116</v>
      </c>
      <c r="H11" s="7" t="s">
        <v>131</v>
      </c>
      <c r="I11" s="4" t="s">
        <v>132</v>
      </c>
      <c r="J11" s="4" t="s">
        <v>133</v>
      </c>
    </row>
    <row r="12" spans="1:10" ht="80" customHeight="1" x14ac:dyDescent="0.2">
      <c r="B12" s="2" t="s">
        <v>33</v>
      </c>
      <c r="C12" s="2" t="s">
        <v>38</v>
      </c>
      <c r="D12" s="5" t="s">
        <v>134</v>
      </c>
      <c r="E12" s="3" t="s">
        <v>39</v>
      </c>
      <c r="F12" s="2" t="s">
        <v>135</v>
      </c>
      <c r="G12" s="6" t="s">
        <v>136</v>
      </c>
      <c r="H12" s="7" t="s">
        <v>137</v>
      </c>
      <c r="I12" s="2" t="s">
        <v>138</v>
      </c>
      <c r="J12" s="2" t="s">
        <v>139</v>
      </c>
    </row>
    <row r="13" spans="1:10" ht="20" customHeight="1" x14ac:dyDescent="0.2">
      <c r="B13" s="33" t="s">
        <v>140</v>
      </c>
      <c r="C13" s="34"/>
      <c r="D13" s="34"/>
      <c r="E13" s="34"/>
      <c r="F13" s="34"/>
      <c r="G13" s="34"/>
      <c r="H13" s="34"/>
      <c r="I13" s="34"/>
      <c r="J13" s="35"/>
    </row>
    <row r="14" spans="1:10" ht="80" customHeight="1" x14ac:dyDescent="0.2">
      <c r="B14" s="2" t="s">
        <v>40</v>
      </c>
      <c r="C14" s="2" t="s">
        <v>41</v>
      </c>
      <c r="D14" s="5" t="s">
        <v>141</v>
      </c>
      <c r="E14" s="3" t="s">
        <v>42</v>
      </c>
      <c r="F14" s="2" t="s">
        <v>142</v>
      </c>
      <c r="G14" s="6" t="s">
        <v>143</v>
      </c>
      <c r="H14" s="7" t="s">
        <v>144</v>
      </c>
      <c r="I14" s="2" t="s">
        <v>145</v>
      </c>
      <c r="J14" s="2" t="s">
        <v>146</v>
      </c>
    </row>
    <row r="15" spans="1:10" ht="80" customHeight="1" x14ac:dyDescent="0.2">
      <c r="B15" s="4" t="s">
        <v>40</v>
      </c>
      <c r="C15" s="4" t="s">
        <v>43</v>
      </c>
      <c r="D15" s="5" t="s">
        <v>147</v>
      </c>
      <c r="E15" s="3" t="s">
        <v>44</v>
      </c>
      <c r="F15" s="4" t="s">
        <v>148</v>
      </c>
      <c r="G15" s="6" t="s">
        <v>149</v>
      </c>
      <c r="H15" s="7" t="s">
        <v>150</v>
      </c>
      <c r="I15" s="4" t="s">
        <v>151</v>
      </c>
      <c r="J15" s="4" t="s">
        <v>152</v>
      </c>
    </row>
  </sheetData>
  <mergeCells count="5">
    <mergeCell ref="B5:J5"/>
    <mergeCell ref="A2:I2"/>
    <mergeCell ref="A1:I1"/>
    <mergeCell ref="B9:J9"/>
    <mergeCell ref="B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showGridLines="0" topLeftCell="A8" workbookViewId="0">
      <selection sqref="A1:E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4" width="20" customWidth="1"/>
    <col min="5" max="5" width="45" customWidth="1"/>
  </cols>
  <sheetData>
    <row r="1" spans="1:5" ht="32" customHeight="1" x14ac:dyDescent="0.2">
      <c r="A1" s="32" t="s">
        <v>153</v>
      </c>
      <c r="B1" s="27"/>
      <c r="C1" s="27"/>
      <c r="D1" s="27"/>
      <c r="E1" s="27"/>
    </row>
    <row r="2" spans="1:5" ht="16" customHeight="1" x14ac:dyDescent="0.2">
      <c r="A2" s="36" t="s">
        <v>154</v>
      </c>
      <c r="B2" s="27"/>
      <c r="C2" s="27"/>
      <c r="D2" s="27"/>
      <c r="E2" s="27"/>
    </row>
    <row r="4" spans="1:5" ht="20" customHeight="1" x14ac:dyDescent="0.2">
      <c r="B4" s="33" t="s">
        <v>155</v>
      </c>
      <c r="C4" s="34"/>
      <c r="D4" s="34"/>
      <c r="E4" s="35"/>
    </row>
    <row r="5" spans="1:5" ht="22" customHeight="1" x14ac:dyDescent="0.2">
      <c r="B5" s="1" t="s">
        <v>156</v>
      </c>
      <c r="C5" s="1" t="s">
        <v>157</v>
      </c>
      <c r="D5" s="1" t="s">
        <v>158</v>
      </c>
      <c r="E5" s="1" t="s">
        <v>159</v>
      </c>
    </row>
    <row r="6" spans="1:5" ht="22" customHeight="1" x14ac:dyDescent="0.2">
      <c r="B6" s="8" t="s">
        <v>160</v>
      </c>
      <c r="C6" s="9" t="s">
        <v>161</v>
      </c>
      <c r="D6" s="2" t="s">
        <v>162</v>
      </c>
      <c r="E6" s="2" t="s">
        <v>163</v>
      </c>
    </row>
    <row r="7" spans="1:5" ht="22" customHeight="1" x14ac:dyDescent="0.2">
      <c r="B7" s="10" t="s">
        <v>164</v>
      </c>
      <c r="C7" s="11" t="s">
        <v>165</v>
      </c>
      <c r="D7" s="4" t="s">
        <v>166</v>
      </c>
      <c r="E7" s="4" t="s">
        <v>167</v>
      </c>
    </row>
    <row r="8" spans="1:5" ht="22" customHeight="1" x14ac:dyDescent="0.2">
      <c r="B8" s="8" t="s">
        <v>168</v>
      </c>
      <c r="C8" s="12" t="s">
        <v>169</v>
      </c>
      <c r="D8" s="2" t="s">
        <v>170</v>
      </c>
      <c r="E8" s="2" t="s">
        <v>171</v>
      </c>
    </row>
    <row r="9" spans="1:5" ht="22" customHeight="1" x14ac:dyDescent="0.2">
      <c r="B9" s="10" t="s">
        <v>172</v>
      </c>
      <c r="C9" s="13" t="s">
        <v>173</v>
      </c>
      <c r="D9" s="4" t="s">
        <v>174</v>
      </c>
      <c r="E9" s="4" t="s">
        <v>175</v>
      </c>
    </row>
    <row r="10" spans="1:5" ht="22" customHeight="1" x14ac:dyDescent="0.2">
      <c r="B10" s="8" t="s">
        <v>176</v>
      </c>
      <c r="C10" s="14" t="s">
        <v>177</v>
      </c>
      <c r="D10" s="2" t="s">
        <v>178</v>
      </c>
      <c r="E10" s="2" t="s">
        <v>179</v>
      </c>
    </row>
    <row r="11" spans="1:5" ht="22" customHeight="1" x14ac:dyDescent="0.2">
      <c r="B11" s="10" t="s">
        <v>180</v>
      </c>
      <c r="C11" s="15" t="s">
        <v>181</v>
      </c>
      <c r="D11" s="4" t="s">
        <v>182</v>
      </c>
      <c r="E11" s="4" t="s">
        <v>183</v>
      </c>
    </row>
    <row r="12" spans="1:5" ht="22" customHeight="1" x14ac:dyDescent="0.2">
      <c r="B12" s="8" t="s">
        <v>184</v>
      </c>
      <c r="C12" s="16" t="s">
        <v>185</v>
      </c>
      <c r="D12" s="2" t="s">
        <v>186</v>
      </c>
      <c r="E12" s="2" t="s">
        <v>187</v>
      </c>
    </row>
    <row r="13" spans="1:5" ht="22" customHeight="1" x14ac:dyDescent="0.2">
      <c r="B13" s="10" t="s">
        <v>188</v>
      </c>
      <c r="C13" s="16" t="s">
        <v>189</v>
      </c>
      <c r="D13" s="4" t="s">
        <v>190</v>
      </c>
      <c r="E13" s="4" t="s">
        <v>191</v>
      </c>
    </row>
    <row r="15" spans="1:5" ht="20" customHeight="1" x14ac:dyDescent="0.2">
      <c r="B15" s="33" t="s">
        <v>192</v>
      </c>
      <c r="C15" s="34"/>
      <c r="D15" s="34"/>
      <c r="E15" s="35"/>
    </row>
    <row r="16" spans="1:5" ht="20" customHeight="1" x14ac:dyDescent="0.2">
      <c r="B16" s="1" t="s">
        <v>156</v>
      </c>
      <c r="C16" s="1" t="s">
        <v>193</v>
      </c>
      <c r="D16" s="1" t="s">
        <v>194</v>
      </c>
      <c r="E16" s="1" t="s">
        <v>195</v>
      </c>
    </row>
    <row r="17" spans="2:5" ht="30" customHeight="1" x14ac:dyDescent="0.2">
      <c r="B17" s="2" t="s">
        <v>196</v>
      </c>
      <c r="C17" s="2" t="s">
        <v>197</v>
      </c>
      <c r="D17" s="2" t="s">
        <v>198</v>
      </c>
      <c r="E17" s="2" t="s">
        <v>199</v>
      </c>
    </row>
    <row r="18" spans="2:5" ht="30" customHeight="1" x14ac:dyDescent="0.2">
      <c r="B18" s="4" t="s">
        <v>200</v>
      </c>
      <c r="C18" s="4" t="s">
        <v>201</v>
      </c>
      <c r="D18" s="4" t="s">
        <v>202</v>
      </c>
      <c r="E18" s="4" t="s">
        <v>203</v>
      </c>
    </row>
    <row r="19" spans="2:5" ht="30" customHeight="1" x14ac:dyDescent="0.2">
      <c r="B19" s="2" t="s">
        <v>204</v>
      </c>
      <c r="C19" s="2" t="s">
        <v>205</v>
      </c>
      <c r="D19" s="2" t="s">
        <v>206</v>
      </c>
      <c r="E19" s="2" t="s">
        <v>207</v>
      </c>
    </row>
    <row r="20" spans="2:5" ht="30" customHeight="1" x14ac:dyDescent="0.2">
      <c r="B20" s="4" t="s">
        <v>208</v>
      </c>
      <c r="C20" s="4" t="s">
        <v>205</v>
      </c>
      <c r="D20" s="4" t="s">
        <v>209</v>
      </c>
      <c r="E20" s="4" t="s">
        <v>210</v>
      </c>
    </row>
    <row r="21" spans="2:5" ht="30" customHeight="1" x14ac:dyDescent="0.2">
      <c r="B21" s="2" t="s">
        <v>211</v>
      </c>
      <c r="C21" s="2" t="s">
        <v>205</v>
      </c>
      <c r="D21" s="2" t="s">
        <v>212</v>
      </c>
      <c r="E21" s="2" t="s">
        <v>213</v>
      </c>
    </row>
    <row r="22" spans="2:5" ht="30" customHeight="1" x14ac:dyDescent="0.2">
      <c r="B22" s="4" t="s">
        <v>59</v>
      </c>
      <c r="C22" s="4" t="s">
        <v>205</v>
      </c>
      <c r="D22" s="4" t="s">
        <v>214</v>
      </c>
      <c r="E22" s="4" t="s">
        <v>215</v>
      </c>
    </row>
    <row r="23" spans="2:5" ht="30" customHeight="1" x14ac:dyDescent="0.2">
      <c r="B23" s="2" t="s">
        <v>216</v>
      </c>
      <c r="C23" s="2" t="s">
        <v>205</v>
      </c>
      <c r="D23" s="2" t="s">
        <v>217</v>
      </c>
      <c r="E23" s="2" t="s">
        <v>218</v>
      </c>
    </row>
    <row r="25" spans="2:5" ht="20" customHeight="1" x14ac:dyDescent="0.2">
      <c r="B25" s="33" t="s">
        <v>219</v>
      </c>
      <c r="C25" s="34"/>
      <c r="D25" s="34"/>
      <c r="E25" s="35"/>
    </row>
    <row r="26" spans="2:5" ht="20" customHeight="1" x14ac:dyDescent="0.2">
      <c r="B26" s="1" t="s">
        <v>220</v>
      </c>
      <c r="C26" s="1" t="s">
        <v>221</v>
      </c>
      <c r="D26" s="1" t="s">
        <v>222</v>
      </c>
      <c r="E26" s="1" t="s">
        <v>223</v>
      </c>
    </row>
    <row r="27" spans="2:5" ht="40" customHeight="1" x14ac:dyDescent="0.2">
      <c r="B27" s="2" t="s">
        <v>224</v>
      </c>
      <c r="C27" s="2" t="s">
        <v>225</v>
      </c>
      <c r="D27" s="2" t="s">
        <v>226</v>
      </c>
      <c r="E27" s="2" t="s">
        <v>227</v>
      </c>
    </row>
    <row r="28" spans="2:5" ht="40" customHeight="1" x14ac:dyDescent="0.2">
      <c r="B28" s="4" t="s">
        <v>228</v>
      </c>
      <c r="C28" s="4" t="s">
        <v>229</v>
      </c>
      <c r="D28" s="4" t="s">
        <v>226</v>
      </c>
      <c r="E28" s="4" t="s">
        <v>230</v>
      </c>
    </row>
    <row r="29" spans="2:5" ht="40" customHeight="1" x14ac:dyDescent="0.2">
      <c r="B29" s="2" t="s">
        <v>231</v>
      </c>
      <c r="C29" s="2" t="s">
        <v>232</v>
      </c>
      <c r="D29" s="2" t="s">
        <v>233</v>
      </c>
      <c r="E29" s="2" t="s">
        <v>234</v>
      </c>
    </row>
    <row r="30" spans="2:5" ht="40" customHeight="1" x14ac:dyDescent="0.2">
      <c r="B30" s="4" t="s">
        <v>235</v>
      </c>
      <c r="C30" s="4" t="s">
        <v>236</v>
      </c>
      <c r="D30" s="4" t="s">
        <v>226</v>
      </c>
      <c r="E30" s="4" t="s">
        <v>237</v>
      </c>
    </row>
    <row r="31" spans="2:5" ht="40" customHeight="1" x14ac:dyDescent="0.2">
      <c r="B31" s="2" t="s">
        <v>238</v>
      </c>
      <c r="C31" s="2" t="s">
        <v>239</v>
      </c>
      <c r="D31" s="2" t="s">
        <v>240</v>
      </c>
      <c r="E31" s="2" t="s">
        <v>241</v>
      </c>
    </row>
    <row r="32" spans="2:5" ht="40" customHeight="1" x14ac:dyDescent="0.2">
      <c r="B32" s="4" t="s">
        <v>242</v>
      </c>
      <c r="C32" s="4" t="s">
        <v>243</v>
      </c>
      <c r="D32" s="4" t="s">
        <v>244</v>
      </c>
      <c r="E32" s="4" t="s">
        <v>245</v>
      </c>
    </row>
    <row r="33" spans="2:5" ht="40" customHeight="1" x14ac:dyDescent="0.2">
      <c r="B33" s="2" t="s">
        <v>246</v>
      </c>
      <c r="C33" s="2" t="s">
        <v>247</v>
      </c>
      <c r="D33" s="2" t="s">
        <v>248</v>
      </c>
      <c r="E33" s="2" t="s">
        <v>249</v>
      </c>
    </row>
    <row r="34" spans="2:5" ht="40" customHeight="1" x14ac:dyDescent="0.2">
      <c r="B34" s="4" t="s">
        <v>250</v>
      </c>
      <c r="C34" s="4" t="s">
        <v>251</v>
      </c>
      <c r="D34" s="4" t="s">
        <v>252</v>
      </c>
      <c r="E34" s="4" t="s">
        <v>253</v>
      </c>
    </row>
    <row r="35" spans="2:5" ht="40" customHeight="1" x14ac:dyDescent="0.2">
      <c r="B35" s="2" t="s">
        <v>254</v>
      </c>
      <c r="C35" s="2" t="s">
        <v>255</v>
      </c>
      <c r="D35" s="2" t="s">
        <v>256</v>
      </c>
      <c r="E35" s="2" t="s">
        <v>257</v>
      </c>
    </row>
    <row r="36" spans="2:5" ht="40" customHeight="1" x14ac:dyDescent="0.2">
      <c r="B36" s="4" t="s">
        <v>258</v>
      </c>
      <c r="C36" s="4" t="s">
        <v>259</v>
      </c>
      <c r="D36" s="4" t="s">
        <v>260</v>
      </c>
      <c r="E36" s="4" t="s">
        <v>261</v>
      </c>
    </row>
    <row r="37" spans="2:5" ht="40" customHeight="1" x14ac:dyDescent="0.2">
      <c r="B37" s="2" t="s">
        <v>262</v>
      </c>
      <c r="C37" s="2" t="s">
        <v>263</v>
      </c>
      <c r="D37" s="2" t="s">
        <v>264</v>
      </c>
      <c r="E37" s="2" t="s">
        <v>265</v>
      </c>
    </row>
    <row r="38" spans="2:5" ht="40" customHeight="1" x14ac:dyDescent="0.2">
      <c r="B38" s="4" t="s">
        <v>266</v>
      </c>
      <c r="C38" s="4" t="s">
        <v>267</v>
      </c>
      <c r="D38" s="4" t="s">
        <v>244</v>
      </c>
      <c r="E38" s="4" t="s">
        <v>268</v>
      </c>
    </row>
    <row r="39" spans="2:5" ht="40" customHeight="1" x14ac:dyDescent="0.2">
      <c r="B39" s="2" t="s">
        <v>269</v>
      </c>
      <c r="C39" s="2" t="s">
        <v>270</v>
      </c>
      <c r="D39" s="2" t="s">
        <v>226</v>
      </c>
      <c r="E39" s="2" t="s">
        <v>271</v>
      </c>
    </row>
    <row r="40" spans="2:5" ht="40" customHeight="1" x14ac:dyDescent="0.2">
      <c r="B40" s="4" t="s">
        <v>272</v>
      </c>
      <c r="C40" s="4" t="s">
        <v>273</v>
      </c>
      <c r="D40" s="4" t="s">
        <v>226</v>
      </c>
      <c r="E40" s="4" t="s">
        <v>274</v>
      </c>
    </row>
    <row r="41" spans="2:5" ht="40" customHeight="1" x14ac:dyDescent="0.2">
      <c r="B41" s="2" t="s">
        <v>275</v>
      </c>
      <c r="C41" s="2" t="s">
        <v>276</v>
      </c>
      <c r="D41" s="2" t="s">
        <v>277</v>
      </c>
      <c r="E41" s="2" t="s">
        <v>278</v>
      </c>
    </row>
    <row r="42" spans="2:5" ht="40" customHeight="1" x14ac:dyDescent="0.2">
      <c r="B42" s="4" t="s">
        <v>279</v>
      </c>
      <c r="C42" s="4" t="s">
        <v>280</v>
      </c>
      <c r="D42" s="4" t="s">
        <v>281</v>
      </c>
      <c r="E42" s="4" t="s">
        <v>282</v>
      </c>
    </row>
  </sheetData>
  <mergeCells count="5">
    <mergeCell ref="B4:E4"/>
    <mergeCell ref="A2:E2"/>
    <mergeCell ref="B15:E15"/>
    <mergeCell ref="A1:E1"/>
    <mergeCell ref="B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Mapa del Sitio</vt:lpstr>
      <vt:lpstr>Capturas de Pantalla</vt:lpstr>
      <vt:lpstr>Planeación Empresarial</vt:lpstr>
      <vt:lpstr>Planeación Financiera</vt:lpstr>
      <vt:lpstr>Identidad Visual 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Tenryu Abe</cp:lastModifiedBy>
  <dcterms:created xsi:type="dcterms:W3CDTF">2026-02-27T04:09:08Z</dcterms:created>
  <dcterms:modified xsi:type="dcterms:W3CDTF">2026-03-23T10:18:28Z</dcterms:modified>
</cp:coreProperties>
</file>